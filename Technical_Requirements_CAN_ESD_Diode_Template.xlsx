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oh1szh\Desktop\Jw.Z\10. Module\96. Sourcing\02. 48V_IVN\"/>
    </mc:Choice>
  </mc:AlternateContent>
  <xr:revisionPtr revIDLastSave="0" documentId="13_ncr:1_{20AEA669-7731-45CC-BF18-C5E0B764E98E}" xr6:coauthVersionLast="47" xr6:coauthVersionMax="47" xr10:uidLastSave="{00000000-0000-0000-0000-000000000000}"/>
  <bookViews>
    <workbookView xWindow="18570" yWindow="-18120" windowWidth="29040" windowHeight="17520" xr2:uid="{00000000-000D-0000-FFFF-FFFF00000000}"/>
  </bookViews>
  <sheets>
    <sheet name="Requirements_SOT23" sheetId="9" r:id="rId1"/>
  </sheets>
  <externalReferences>
    <externalReference r:id="rId2"/>
    <externalReference r:id="rId3"/>
    <externalReference r:id="rId4"/>
  </externalReferences>
  <definedNames>
    <definedName name="data">[1]Tailoringmatrix!$C$6:$Q$15</definedName>
    <definedName name="document">[1]Tailoringmatrix!#REF!</definedName>
    <definedName name="hhh">[2]Survey!$L$31</definedName>
    <definedName name="Zurück_zu_Übersicht">[3]Overview!#REF!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" i="9" l="1"/>
</calcChain>
</file>

<file path=xl/sharedStrings.xml><?xml version="1.0" encoding="utf-8"?>
<sst xmlns="http://schemas.openxmlformats.org/spreadsheetml/2006/main" count="120" uniqueCount="64">
  <si>
    <t>ID</t>
  </si>
  <si>
    <t>Question</t>
  </si>
  <si>
    <t>Supplier's response/answer</t>
  </si>
  <si>
    <t>1.1</t>
  </si>
  <si>
    <t>1.2</t>
  </si>
  <si>
    <t>1</t>
  </si>
  <si>
    <t>Revision:</t>
  </si>
  <si>
    <t>Last Update</t>
  </si>
  <si>
    <t>Supplier</t>
  </si>
  <si>
    <t>Device</t>
  </si>
  <si>
    <t>&lt;&lt;Supplier Name&gt;&gt;</t>
  </si>
  <si>
    <t>&lt;&lt;name&gt;&gt;</t>
  </si>
  <si>
    <t>Typ.</t>
  </si>
  <si>
    <t>Min.</t>
  </si>
  <si>
    <t>Max.</t>
  </si>
  <si>
    <t>Unit</t>
  </si>
  <si>
    <t>Bosch comment</t>
  </si>
  <si>
    <t>Technical requirements</t>
  </si>
  <si>
    <t>Source</t>
  </si>
  <si>
    <t>Requirement responsible</t>
  </si>
  <si>
    <t>Supplier status</t>
  </si>
  <si>
    <t>fill out</t>
  </si>
  <si>
    <t>Final Bosch Assessment based on latest supplier response</t>
  </si>
  <si>
    <t>Final Supplier Assessment based on latest Bosch comment</t>
  </si>
  <si>
    <t>QSTL0345</t>
  </si>
  <si>
    <t>Technical Requirement Specification</t>
  </si>
  <si>
    <t>Bidirectional CAN ESD Diode</t>
  </si>
  <si>
    <t>General requirement</t>
  </si>
  <si>
    <t>1.1.1</t>
  </si>
  <si>
    <t>Diode proposed are designed for CAN interface application.</t>
  </si>
  <si>
    <t>1.1.2</t>
  </si>
  <si>
    <t>Bi-directional Diode proposed.</t>
  </si>
  <si>
    <t>1.1.3</t>
  </si>
  <si>
    <t>Dual-channel Diode proposed.</t>
  </si>
  <si>
    <t>1.1.4</t>
  </si>
  <si>
    <t>Provide the device with SOT23 package</t>
  </si>
  <si>
    <t>Electrical characteristic requirement</t>
  </si>
  <si>
    <t>1.2.1</t>
  </si>
  <si>
    <t>Reverse stand off voltage @All temperature</t>
  </si>
  <si>
    <t>V</t>
  </si>
  <si>
    <t>1.2.2</t>
  </si>
  <si>
    <t>Break Down voltage Vbr @All temperature</t>
  </si>
  <si>
    <t>Supplier provide the parameter</t>
  </si>
  <si>
    <t>1.2.3</t>
  </si>
  <si>
    <t>Clamping Voltage Vcl @All temperature IPP = 16 A Tp=100ns</t>
  </si>
  <si>
    <t>1.2.4</t>
  </si>
  <si>
    <t>Diode capacitance per channel Cd</t>
  </si>
  <si>
    <t>pF</t>
  </si>
  <si>
    <t>1.2.5</t>
  </si>
  <si>
    <t>Diode capacitance matching ΔCd/Cd</t>
  </si>
  <si>
    <t>%</t>
  </si>
  <si>
    <t>1.2.6</t>
  </si>
  <si>
    <t>IEC61000-4-2 Contact &gt;=23kV</t>
  </si>
  <si>
    <t>1.2.7</t>
  </si>
  <si>
    <t>Fulfill Contact Discharge [+/-15KV] via [330pF, 330Ohm] per ISO10605</t>
  </si>
  <si>
    <t>1.2.8</t>
  </si>
  <si>
    <t>Fulfill Contact Discharge [+/-20KV] via [330pF, 2kohm] per ISO10605</t>
  </si>
  <si>
    <t>1.2.9</t>
  </si>
  <si>
    <t>Fulfill Air Discharge [+/-15KV] via [330pF, 330Ohm] per ISO10605</t>
  </si>
  <si>
    <t>1.2.10</t>
  </si>
  <si>
    <t>Fulfill Air Discharge [+/-25KV] via [330pF, 2kohm] per ISO10605</t>
  </si>
  <si>
    <t>ESD not activated before 27V, can be discussed</t>
  </si>
  <si>
    <t>can be discussed</t>
  </si>
  <si>
    <t>Xiao 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</si>
</sst>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8"/>
      <color rgb="FF3A5A82"/>
      <name val="Arial"/>
      <family val="2"/>
    </font>
    <font>
      <b/>
      <sz val="16"/>
      <color rgb="FF3A5A82"/>
      <name val="Arial"/>
      <family val="2"/>
    </font>
    <font>
      <b/>
      <sz val="12"/>
      <color rgb="FF3A5A82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3F3F76"/>
      <name val="Arial"/>
      <family val="2"/>
    </font>
    <font>
      <sz val="10"/>
      <name val="Bosch Office Sans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3264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3A5A82"/>
      </bottom>
      <diagonal/>
    </border>
    <border>
      <left style="thin">
        <color rgb="FF3A5A82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rgb="FF3A5A82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7" fillId="3" borderId="6" applyNumberFormat="0" applyAlignment="0" applyProtection="0"/>
    <xf numFmtId="0" fontId="8" fillId="4" borderId="7" applyNumberFormat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/>
    <xf numFmtId="9" fontId="15" fillId="0" borderId="0" applyFont="0" applyFill="0" applyBorder="0" applyAlignment="0" applyProtection="0"/>
    <xf numFmtId="0" fontId="16" fillId="0" borderId="0"/>
    <xf numFmtId="0" fontId="2" fillId="0" borderId="0"/>
  </cellStyleXfs>
  <cellXfs count="6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49" fontId="5" fillId="0" borderId="2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1" fillId="2" borderId="3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top" wrapText="1"/>
    </xf>
    <xf numFmtId="49" fontId="5" fillId="0" borderId="2" xfId="0" applyNumberFormat="1" applyFont="1" applyBorder="1" applyAlignment="1">
      <alignment horizontal="left" vertical="top" wrapText="1"/>
    </xf>
    <xf numFmtId="49" fontId="6" fillId="0" borderId="2" xfId="0" applyNumberFormat="1" applyFont="1" applyBorder="1" applyAlignment="1">
      <alignment horizontal="left" vertical="top" wrapText="1"/>
    </xf>
    <xf numFmtId="0" fontId="8" fillId="4" borderId="7" xfId="3" applyAlignment="1">
      <alignment horizontal="left" vertical="top" wrapText="1"/>
    </xf>
    <xf numFmtId="0" fontId="9" fillId="5" borderId="0" xfId="0" applyFont="1" applyFill="1" applyAlignment="1">
      <alignment vertical="top"/>
    </xf>
    <xf numFmtId="0" fontId="9" fillId="5" borderId="0" xfId="0" applyFont="1" applyFill="1"/>
    <xf numFmtId="0" fontId="9" fillId="5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5" fillId="0" borderId="2" xfId="0" applyNumberFormat="1" applyFont="1" applyBorder="1" applyAlignment="1">
      <alignment horizontal="left" vertical="center" wrapText="1"/>
    </xf>
    <xf numFmtId="14" fontId="9" fillId="5" borderId="0" xfId="0" applyNumberFormat="1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top" wrapText="1"/>
    </xf>
    <xf numFmtId="49" fontId="2" fillId="0" borderId="0" xfId="0" quotePrefix="1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top"/>
    </xf>
    <xf numFmtId="49" fontId="1" fillId="2" borderId="13" xfId="0" applyNumberFormat="1" applyFont="1" applyFill="1" applyBorder="1" applyAlignment="1">
      <alignment horizontal="left" vertical="center" wrapText="1"/>
    </xf>
    <xf numFmtId="49" fontId="2" fillId="0" borderId="11" xfId="0" quotePrefix="1" applyNumberFormat="1" applyFont="1" applyBorder="1" applyAlignment="1">
      <alignment horizontal="center" vertical="center" wrapText="1"/>
    </xf>
    <xf numFmtId="49" fontId="2" fillId="0" borderId="9" xfId="0" quotePrefix="1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9" fillId="5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0" xfId="5" applyFont="1" applyAlignment="1">
      <alignment horizontal="center"/>
    </xf>
    <xf numFmtId="0" fontId="13" fillId="0" borderId="0" xfId="5" applyFont="1" applyAlignment="1">
      <alignment horizontal="center" vertical="center" wrapText="1"/>
    </xf>
    <xf numFmtId="0" fontId="1" fillId="2" borderId="8" xfId="0" applyFont="1" applyFill="1" applyBorder="1" applyAlignment="1">
      <alignment vertical="top" wrapText="1"/>
    </xf>
    <xf numFmtId="2" fontId="2" fillId="0" borderId="10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vertical="center" wrapText="1"/>
    </xf>
    <xf numFmtId="2" fontId="2" fillId="0" borderId="17" xfId="0" applyNumberFormat="1" applyFont="1" applyBorder="1" applyAlignment="1">
      <alignment vertical="center" wrapText="1"/>
    </xf>
    <xf numFmtId="2" fontId="2" fillId="0" borderId="9" xfId="0" applyNumberFormat="1" applyFont="1" applyBorder="1" applyAlignment="1">
      <alignment vertical="center" wrapText="1"/>
    </xf>
    <xf numFmtId="0" fontId="4" fillId="6" borderId="10" xfId="0" applyFont="1" applyFill="1" applyBorder="1" applyAlignment="1">
      <alignment horizontal="center" vertical="top"/>
    </xf>
    <xf numFmtId="0" fontId="4" fillId="6" borderId="17" xfId="0" applyFont="1" applyFill="1" applyBorder="1" applyAlignment="1">
      <alignment horizontal="center" vertical="top"/>
    </xf>
    <xf numFmtId="0" fontId="4" fillId="6" borderId="9" xfId="0" applyFont="1" applyFill="1" applyBorder="1" applyAlignment="1">
      <alignment horizontal="center" vertical="top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1" fillId="3" borderId="14" xfId="2" applyFont="1" applyBorder="1" applyAlignment="1">
      <alignment horizontal="center" vertical="center" wrapText="1"/>
    </xf>
    <xf numFmtId="0" fontId="11" fillId="3" borderId="15" xfId="2" applyFont="1" applyBorder="1" applyAlignment="1">
      <alignment horizontal="center" vertical="center" wrapText="1"/>
    </xf>
    <xf numFmtId="0" fontId="11" fillId="3" borderId="16" xfId="2" applyFont="1" applyBorder="1" applyAlignment="1">
      <alignment horizontal="center" vertical="center" wrapText="1"/>
    </xf>
    <xf numFmtId="14" fontId="9" fillId="5" borderId="14" xfId="0" applyNumberFormat="1" applyFont="1" applyFill="1" applyBorder="1" applyAlignment="1">
      <alignment horizontal="center" vertical="center" wrapText="1"/>
    </xf>
    <xf numFmtId="14" fontId="9" fillId="5" borderId="15" xfId="0" applyNumberFormat="1" applyFont="1" applyFill="1" applyBorder="1" applyAlignment="1">
      <alignment horizontal="center" vertical="center" wrapText="1"/>
    </xf>
    <xf numFmtId="14" fontId="9" fillId="5" borderId="16" xfId="0" applyNumberFormat="1" applyFont="1" applyFill="1" applyBorder="1" applyAlignment="1">
      <alignment horizontal="center" vertical="center" wrapText="1"/>
    </xf>
    <xf numFmtId="164" fontId="12" fillId="0" borderId="14" xfId="1" applyNumberFormat="1" applyFont="1" applyBorder="1" applyAlignment="1">
      <alignment horizontal="center" vertical="center" wrapText="1"/>
    </xf>
    <xf numFmtId="164" fontId="12" fillId="0" borderId="15" xfId="1" applyNumberFormat="1" applyFont="1" applyBorder="1" applyAlignment="1">
      <alignment horizontal="center" vertical="center" wrapText="1"/>
    </xf>
    <xf numFmtId="164" fontId="12" fillId="0" borderId="16" xfId="1" applyNumberFormat="1" applyFont="1" applyBorder="1" applyAlignment="1">
      <alignment horizontal="center" vertical="center" wrapText="1"/>
    </xf>
  </cellXfs>
  <cellStyles count="9">
    <cellStyle name="Hyperlink 2" xfId="4" xr:uid="{00000000-0005-0000-0000-000002000000}"/>
    <cellStyle name="Input" xfId="2" builtinId="20"/>
    <cellStyle name="Normal" xfId="0" builtinId="0"/>
    <cellStyle name="Normal 2" xfId="7" xr:uid="{00000000-0005-0000-0000-000004000000}"/>
    <cellStyle name="Output" xfId="3" builtinId="21"/>
    <cellStyle name="Prozent 2" xfId="6" xr:uid="{00000000-0005-0000-0000-000005000000}"/>
    <cellStyle name="Standard 2" xfId="1" xr:uid="{00000000-0005-0000-0000-000007000000}"/>
    <cellStyle name="Standard 3" xfId="5" xr:uid="{00000000-0005-0000-0000-000008000000}"/>
    <cellStyle name="Standard 4" xfId="8" xr:uid="{00000000-0005-0000-0000-000009000000}"/>
  </cellStyles>
  <dxfs count="8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3264"/>
      <color rgb="FF3A5A82"/>
      <color rgb="FFDDDDDD"/>
      <color rgb="FFA8B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16632</xdr:colOff>
      <xdr:row>0</xdr:row>
      <xdr:rowOff>85272</xdr:rowOff>
    </xdr:from>
    <xdr:to>
      <xdr:col>4</xdr:col>
      <xdr:colOff>417287</xdr:colOff>
      <xdr:row>1</xdr:row>
      <xdr:rowOff>109892</xdr:rowOff>
    </xdr:to>
    <xdr:pic>
      <xdr:nvPicPr>
        <xdr:cNvPr id="2" name="Grafik 1" descr="bosch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532" y="85272"/>
          <a:ext cx="2977651" cy="666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ine\Hardware\HW-Modules\General\P.Templates\04.Change_Assessment\QSCL0321_Module_change_assessmen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z1130\aerse$\USER\ECE-EPD\claus\Circuit_Design_Checklist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mr2si/Desktop/TEST%20SOPL/fertig/Anpassung/QSCL0315_HW-Module_Description_Review_Checklist.xlsm" TargetMode="External"/><Relationship Id="rId1" Type="http://schemas.openxmlformats.org/officeDocument/2006/relationships/externalLinkPath" Target="/Users/pmr2si/Desktop/TEST%20SOPL/fertig/Anpassung/QSCL0315_HW-Module_Description_Review_Checklis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ailoringmatrix"/>
      <sheetName val="Questionnaire"/>
      <sheetName val="OPL"/>
      <sheetName val="History"/>
      <sheetName val="Info"/>
    </sheetNames>
    <sheetDataSet>
      <sheetData sheetId="0">
        <row r="1">
          <cell r="D1" t="str">
            <v>QSCL0321</v>
          </cell>
        </row>
      </sheetData>
      <sheetData sheetId="1">
        <row r="6">
          <cell r="C6" t="str">
            <v>Change of schematic diagram; changed functionality/ (requirements)</v>
          </cell>
          <cell r="D6" t="str">
            <v>new feature "reduced sleep current" (SVRG12)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I6" t="str">
            <v>x</v>
          </cell>
          <cell r="J6" t="str">
            <v>x</v>
          </cell>
          <cell r="K6" t="str">
            <v>x</v>
          </cell>
          <cell r="L6" t="str">
            <v>x</v>
          </cell>
          <cell r="M6" t="str">
            <v>x</v>
          </cell>
          <cell r="N6" t="str">
            <v>x</v>
          </cell>
          <cell r="O6" t="str">
            <v>x</v>
          </cell>
          <cell r="P6" t="str">
            <v>x</v>
          </cell>
          <cell r="Q6" t="str">
            <v>x</v>
          </cell>
        </row>
        <row r="7">
          <cell r="C7" t="str">
            <v>Change of schematic diagram; "robustness measure"
Change of layout</v>
          </cell>
          <cell r="D7" t="str">
            <v xml:space="preserve">additional capacitor at SPI;
</v>
          </cell>
          <cell r="E7" t="str">
            <v>x</v>
          </cell>
          <cell r="F7" t="str">
            <v>x</v>
          </cell>
          <cell r="G7" t="str">
            <v>-</v>
          </cell>
          <cell r="H7" t="str">
            <v>x</v>
          </cell>
          <cell r="I7" t="str">
            <v>-</v>
          </cell>
          <cell r="J7" t="str">
            <v>-</v>
          </cell>
          <cell r="K7" t="str">
            <v>x</v>
          </cell>
          <cell r="L7" t="str">
            <v>x</v>
          </cell>
          <cell r="M7" t="str">
            <v>x</v>
          </cell>
          <cell r="N7" t="str">
            <v>x</v>
          </cell>
          <cell r="O7" t="str">
            <v>x</v>
          </cell>
          <cell r="P7" t="str">
            <v>x</v>
          </cell>
          <cell r="Q7" t="str">
            <v>-</v>
          </cell>
        </row>
        <row r="8">
          <cell r="C8" t="str">
            <v>change of value</v>
          </cell>
          <cell r="D8" t="str">
            <v>100nF instead of 68nF</v>
          </cell>
          <cell r="E8" t="str">
            <v>x</v>
          </cell>
          <cell r="F8" t="str">
            <v>-</v>
          </cell>
          <cell r="G8" t="str">
            <v>-</v>
          </cell>
          <cell r="H8" t="str">
            <v>x</v>
          </cell>
          <cell r="I8" t="str">
            <v>x</v>
          </cell>
          <cell r="J8" t="str">
            <v>-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-</v>
          </cell>
        </row>
        <row r="9">
          <cell r="C9" t="str">
            <v>change of type</v>
          </cell>
          <cell r="D9" t="str">
            <v>P1M-C Rev A instead of P1M-C Rev 0;
ferrite instead of resistor</v>
          </cell>
          <cell r="E9" t="str">
            <v>x</v>
          </cell>
          <cell r="F9" t="str">
            <v>-</v>
          </cell>
          <cell r="G9" t="str">
            <v>-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-</v>
          </cell>
        </row>
        <row r="10">
          <cell r="C10" t="str">
            <v>change of supplier</v>
          </cell>
          <cell r="D10" t="str">
            <v>Rohm instead of Vishay</v>
          </cell>
          <cell r="E10" t="str">
            <v>x</v>
          </cell>
          <cell r="F10" t="str">
            <v>-</v>
          </cell>
          <cell r="G10" t="str">
            <v>-</v>
          </cell>
          <cell r="H10" t="str">
            <v>x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-</v>
          </cell>
        </row>
        <row r="11">
          <cell r="C11" t="str">
            <v>introduction of collective pn</v>
          </cell>
          <cell r="D11" t="str">
            <v>1267… instead of 890…</v>
          </cell>
          <cell r="E11" t="str">
            <v>x</v>
          </cell>
          <cell r="F11" t="str">
            <v>-</v>
          </cell>
          <cell r="G11" t="str">
            <v>-</v>
          </cell>
          <cell r="H11" t="str">
            <v>x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-</v>
          </cell>
        </row>
        <row r="12">
          <cell r="C12" t="str">
            <v>Change of HW_related_SW_parameter</v>
          </cell>
          <cell r="D12" t="str">
            <v>update threshold initial test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-</v>
          </cell>
          <cell r="N12" t="str">
            <v>-</v>
          </cell>
          <cell r="O12" t="str">
            <v>x</v>
          </cell>
          <cell r="P12" t="str">
            <v>x</v>
          </cell>
          <cell r="Q12" t="str">
            <v>-</v>
          </cell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</row>
        <row r="15"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</row>
      </sheetData>
      <sheetData sheetId="2">
        <row r="8">
          <cell r="B8" t="str">
            <v>A0</v>
          </cell>
        </row>
      </sheetData>
      <sheetData sheetId="3"/>
      <sheetData sheetId="4">
        <row r="3">
          <cell r="D3" t="str">
            <v>draft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"/>
      <sheetName val="General"/>
      <sheetName val="Layout"/>
      <sheetName val="Resistors"/>
      <sheetName val="Ceramic_Capacitors"/>
      <sheetName val="Electrolytic_Capacitors"/>
      <sheetName val="Diodes"/>
      <sheetName val="Coils"/>
      <sheetName val="Resonators"/>
      <sheetName val="Transistors"/>
      <sheetName val="Template"/>
      <sheetName val="Form Histo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view"/>
      <sheetName val="checklist"/>
      <sheetName val="OPL"/>
      <sheetName val="Form History"/>
      <sheetName val="Info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B1:BS38"/>
  <sheetViews>
    <sheetView showGridLines="0" tabSelected="1" zoomScale="85" zoomScaleNormal="85" workbookViewId="0">
      <selection activeCell="E23" sqref="E23"/>
    </sheetView>
  </sheetViews>
  <sheetFormatPr defaultColWidth="11.42578125" defaultRowHeight="12.75"/>
  <cols>
    <col min="1" max="1" width="1.28515625" style="3" customWidth="1"/>
    <col min="2" max="2" width="9.7109375" style="6" customWidth="1"/>
    <col min="3" max="4" width="14.28515625" style="6" customWidth="1"/>
    <col min="5" max="5" width="74.42578125" style="1" customWidth="1"/>
    <col min="6" max="6" width="16.28515625" style="1" customWidth="1"/>
    <col min="7" max="7" width="11.85546875" style="2" customWidth="1"/>
    <col min="8" max="10" width="11.85546875" style="3" customWidth="1"/>
    <col min="11" max="11" width="27.5703125" style="3" customWidth="1"/>
    <col min="12" max="12" width="29.42578125" style="3" bestFit="1" customWidth="1"/>
    <col min="13" max="13" width="16.42578125" style="31" bestFit="1" customWidth="1"/>
    <col min="14" max="14" width="43.28515625" style="3" customWidth="1"/>
    <col min="15" max="16384" width="11.42578125" style="3"/>
  </cols>
  <sheetData>
    <row r="1" spans="2:71" ht="55.5" customHeight="1">
      <c r="E1" s="36"/>
      <c r="F1" s="37" t="e">
        <f>"Template-Version"&amp;CHAR(10)&amp;#REF!</f>
        <v>#REF!</v>
      </c>
    </row>
    <row r="2" spans="2:71">
      <c r="F2" s="36" t="s">
        <v>24</v>
      </c>
    </row>
    <row r="5" spans="2:71">
      <c r="G5" s="3"/>
    </row>
    <row r="6" spans="2:71" ht="23.25">
      <c r="B6" s="45" t="s">
        <v>26</v>
      </c>
      <c r="C6" s="46"/>
      <c r="D6" s="46"/>
      <c r="E6" s="47"/>
      <c r="F6" s="18"/>
      <c r="G6" s="3"/>
    </row>
    <row r="7" spans="2:71" ht="23.25">
      <c r="B7" s="26"/>
      <c r="C7" s="26"/>
      <c r="D7" s="26"/>
      <c r="E7" s="26"/>
      <c r="F7" s="18"/>
      <c r="G7" s="3"/>
    </row>
    <row r="8" spans="2:71" s="14" customFormat="1" ht="30" customHeight="1">
      <c r="B8" s="48" t="s">
        <v>25</v>
      </c>
      <c r="C8" s="49"/>
      <c r="D8" s="49"/>
      <c r="E8" s="50"/>
      <c r="F8" s="18"/>
      <c r="G8" s="3"/>
      <c r="H8" s="3"/>
      <c r="I8" s="3"/>
      <c r="J8" s="3"/>
      <c r="K8" s="3"/>
      <c r="L8" s="3"/>
      <c r="M8" s="3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</row>
    <row r="9" spans="2:71" s="14" customFormat="1" ht="14.25">
      <c r="B9" s="11" t="s">
        <v>6</v>
      </c>
      <c r="C9" s="57">
        <v>1.6</v>
      </c>
      <c r="D9" s="58"/>
      <c r="E9" s="59"/>
      <c r="F9" s="18"/>
      <c r="G9" s="3"/>
      <c r="H9" s="3"/>
      <c r="I9" s="3"/>
      <c r="J9" s="3"/>
      <c r="K9" s="3"/>
      <c r="L9" s="3"/>
      <c r="M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</row>
    <row r="10" spans="2:71" s="14" customFormat="1" ht="25.5">
      <c r="B10" s="11" t="s">
        <v>7</v>
      </c>
      <c r="C10" s="54">
        <v>44908</v>
      </c>
      <c r="D10" s="55"/>
      <c r="E10" s="56"/>
      <c r="F10" s="18"/>
      <c r="G10" s="12"/>
      <c r="H10" s="13"/>
      <c r="I10" s="13"/>
      <c r="J10" s="13"/>
      <c r="K10" s="13"/>
      <c r="L10" s="13"/>
      <c r="M10" s="3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</row>
    <row r="11" spans="2:71" s="14" customFormat="1" ht="14.25">
      <c r="B11" s="11" t="s">
        <v>8</v>
      </c>
      <c r="C11" s="51" t="s">
        <v>10</v>
      </c>
      <c r="D11" s="52"/>
      <c r="E11" s="53"/>
      <c r="F11" s="18"/>
      <c r="G11" s="12"/>
      <c r="H11" s="13"/>
      <c r="I11" s="13"/>
      <c r="J11" s="13"/>
      <c r="K11" s="13"/>
      <c r="L11" s="13"/>
      <c r="M11" s="3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</row>
    <row r="12" spans="2:71" s="14" customFormat="1" ht="14.25">
      <c r="B12" s="11" t="s">
        <v>9</v>
      </c>
      <c r="C12" s="51" t="s">
        <v>11</v>
      </c>
      <c r="D12" s="52"/>
      <c r="E12" s="53"/>
      <c r="F12" s="18"/>
      <c r="G12" s="12"/>
      <c r="H12" s="13"/>
      <c r="I12" s="13"/>
      <c r="J12" s="13"/>
      <c r="K12" s="13"/>
      <c r="L12" s="13"/>
      <c r="M12" s="3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</row>
    <row r="13" spans="2:71" ht="12.75" customHeight="1"/>
    <row r="14" spans="2:71" s="4" customFormat="1" ht="69" customHeight="1">
      <c r="B14" s="7" t="s">
        <v>0</v>
      </c>
      <c r="C14" s="27" t="s">
        <v>22</v>
      </c>
      <c r="D14" s="27" t="s">
        <v>23</v>
      </c>
      <c r="E14" s="16" t="s">
        <v>1</v>
      </c>
      <c r="F14" s="38" t="s">
        <v>13</v>
      </c>
      <c r="G14" s="8" t="s">
        <v>12</v>
      </c>
      <c r="H14" s="8" t="s">
        <v>14</v>
      </c>
      <c r="I14" s="8" t="s">
        <v>15</v>
      </c>
      <c r="J14" s="8" t="s">
        <v>18</v>
      </c>
      <c r="K14" s="8" t="s">
        <v>19</v>
      </c>
      <c r="L14" s="8" t="s">
        <v>16</v>
      </c>
      <c r="M14" s="33" t="s">
        <v>20</v>
      </c>
      <c r="N14" s="8" t="s">
        <v>2</v>
      </c>
    </row>
    <row r="15" spans="2:71" ht="12.75" customHeight="1"/>
    <row r="16" spans="2:71" ht="21" thickBot="1">
      <c r="B16" s="5" t="s">
        <v>5</v>
      </c>
      <c r="C16" s="5"/>
      <c r="D16" s="5"/>
      <c r="E16" s="17" t="s">
        <v>17</v>
      </c>
      <c r="F16" s="17"/>
      <c r="G16" s="9"/>
    </row>
    <row r="17" spans="2:14" customFormat="1" ht="13.5" thickTop="1">
      <c r="E17" s="1"/>
      <c r="F17" s="1"/>
      <c r="M17" s="34"/>
    </row>
    <row r="18" spans="2:14" ht="16.5" thickBot="1">
      <c r="B18" s="10" t="s">
        <v>3</v>
      </c>
      <c r="C18" s="22"/>
      <c r="D18" s="22"/>
      <c r="E18" s="21" t="s">
        <v>27</v>
      </c>
      <c r="F18" s="21"/>
      <c r="G18" s="22"/>
    </row>
    <row r="19" spans="2:14" ht="16.5" thickTop="1">
      <c r="B19" s="28" t="s">
        <v>28</v>
      </c>
      <c r="C19" s="29" t="s">
        <v>21</v>
      </c>
      <c r="D19" s="29" t="s">
        <v>21</v>
      </c>
      <c r="E19" s="15" t="s">
        <v>29</v>
      </c>
      <c r="F19" s="39"/>
      <c r="G19" s="40"/>
      <c r="H19" s="41"/>
      <c r="I19" s="15"/>
      <c r="J19" s="15"/>
      <c r="K19" s="15" t="s">
        <v>63</v>
      </c>
      <c r="L19" s="15"/>
      <c r="M19" s="19" t="s">
        <v>21</v>
      </c>
      <c r="N19" s="30"/>
    </row>
    <row r="20" spans="2:14" ht="15.75">
      <c r="B20" s="28" t="s">
        <v>30</v>
      </c>
      <c r="C20" s="29" t="s">
        <v>21</v>
      </c>
      <c r="D20" s="29" t="s">
        <v>21</v>
      </c>
      <c r="E20" s="15" t="s">
        <v>31</v>
      </c>
      <c r="F20" s="39"/>
      <c r="G20" s="40"/>
      <c r="H20" s="41"/>
      <c r="I20" s="15"/>
      <c r="J20" s="15"/>
      <c r="K20" s="15" t="s">
        <v>63</v>
      </c>
      <c r="L20" s="15"/>
      <c r="M20" s="19" t="s">
        <v>21</v>
      </c>
      <c r="N20" s="30"/>
    </row>
    <row r="21" spans="2:14" ht="15.75">
      <c r="B21" s="28" t="s">
        <v>32</v>
      </c>
      <c r="C21" s="29" t="s">
        <v>21</v>
      </c>
      <c r="D21" s="29" t="s">
        <v>21</v>
      </c>
      <c r="E21" s="15" t="s">
        <v>33</v>
      </c>
      <c r="F21" s="39"/>
      <c r="G21" s="40"/>
      <c r="H21" s="41"/>
      <c r="I21" s="15"/>
      <c r="J21" s="15"/>
      <c r="K21" s="15" t="s">
        <v>63</v>
      </c>
      <c r="L21" s="15"/>
      <c r="M21" s="19" t="s">
        <v>21</v>
      </c>
      <c r="N21" s="30"/>
    </row>
    <row r="22" spans="2:14" ht="15.75" customHeight="1">
      <c r="B22" s="28" t="s">
        <v>34</v>
      </c>
      <c r="C22" s="29" t="s">
        <v>21</v>
      </c>
      <c r="D22" s="29" t="s">
        <v>21</v>
      </c>
      <c r="E22" s="15" t="s">
        <v>35</v>
      </c>
      <c r="F22" s="39"/>
      <c r="G22" s="40"/>
      <c r="H22" s="41"/>
      <c r="I22" s="15"/>
      <c r="J22" s="15"/>
      <c r="K22" s="15" t="s">
        <v>63</v>
      </c>
      <c r="L22" s="15"/>
      <c r="M22" s="19" t="s">
        <v>21</v>
      </c>
      <c r="N22" s="30"/>
    </row>
    <row r="23" spans="2:14" ht="15.75">
      <c r="B23" s="28"/>
      <c r="C23" s="29"/>
      <c r="D23" s="29"/>
      <c r="E23" s="15"/>
      <c r="F23" s="42"/>
      <c r="G23" s="43"/>
      <c r="H23" s="44"/>
      <c r="I23" s="15"/>
      <c r="J23" s="15"/>
      <c r="K23" s="15"/>
      <c r="L23" s="15"/>
      <c r="M23" s="19"/>
      <c r="N23" s="30"/>
    </row>
    <row r="24" spans="2:14" ht="15.75">
      <c r="B24" s="23"/>
      <c r="C24" s="23"/>
      <c r="D24" s="23"/>
      <c r="E24" s="24"/>
      <c r="F24" s="25"/>
      <c r="G24" s="25"/>
      <c r="H24" s="25"/>
      <c r="I24" s="24"/>
      <c r="J24" s="24"/>
      <c r="K24" s="24"/>
      <c r="L24" s="24"/>
      <c r="M24" s="35"/>
      <c r="N24" s="22"/>
    </row>
    <row r="25" spans="2:14" ht="16.5" thickBot="1">
      <c r="B25" s="10" t="s">
        <v>4</v>
      </c>
      <c r="C25" s="22"/>
      <c r="D25" s="22"/>
      <c r="E25" s="21" t="s">
        <v>36</v>
      </c>
      <c r="F25" s="21"/>
      <c r="G25" s="22"/>
    </row>
    <row r="26" spans="2:14" ht="26.25" thickTop="1">
      <c r="B26" s="28" t="s">
        <v>37</v>
      </c>
      <c r="C26" s="29" t="s">
        <v>21</v>
      </c>
      <c r="D26" s="29" t="s">
        <v>21</v>
      </c>
      <c r="E26" s="15" t="s">
        <v>38</v>
      </c>
      <c r="F26" s="20">
        <v>27</v>
      </c>
      <c r="G26" s="20"/>
      <c r="H26" s="20"/>
      <c r="I26" s="15" t="s">
        <v>39</v>
      </c>
      <c r="J26" s="15"/>
      <c r="K26" s="15" t="s">
        <v>63</v>
      </c>
      <c r="L26" s="15" t="s">
        <v>61</v>
      </c>
      <c r="M26" s="19" t="s">
        <v>21</v>
      </c>
      <c r="N26" s="30"/>
    </row>
    <row r="27" spans="2:14" ht="15.75">
      <c r="B27" s="28" t="s">
        <v>40</v>
      </c>
      <c r="C27" s="29" t="s">
        <v>21</v>
      </c>
      <c r="D27" s="29" t="s">
        <v>21</v>
      </c>
      <c r="E27" s="15" t="s">
        <v>41</v>
      </c>
      <c r="F27" s="20"/>
      <c r="G27" s="20">
        <v>33</v>
      </c>
      <c r="H27" s="20"/>
      <c r="I27" s="15" t="s">
        <v>39</v>
      </c>
      <c r="J27" s="15"/>
      <c r="K27" s="15" t="s">
        <v>63</v>
      </c>
      <c r="L27" s="15" t="s">
        <v>42</v>
      </c>
      <c r="M27" s="19" t="s">
        <v>21</v>
      </c>
      <c r="N27" s="30"/>
    </row>
    <row r="28" spans="2:14" ht="15.75">
      <c r="B28" s="28" t="s">
        <v>43</v>
      </c>
      <c r="C28" s="29" t="s">
        <v>21</v>
      </c>
      <c r="D28" s="29" t="s">
        <v>21</v>
      </c>
      <c r="E28" s="15" t="s">
        <v>44</v>
      </c>
      <c r="F28" s="20"/>
      <c r="G28" s="20"/>
      <c r="H28" s="20">
        <v>40</v>
      </c>
      <c r="I28" s="15" t="s">
        <v>39</v>
      </c>
      <c r="J28" s="15"/>
      <c r="K28" s="15" t="s">
        <v>63</v>
      </c>
      <c r="L28" s="15" t="s">
        <v>62</v>
      </c>
      <c r="M28" s="19" t="s">
        <v>21</v>
      </c>
      <c r="N28" s="30"/>
    </row>
    <row r="29" spans="2:14" ht="15.75">
      <c r="B29" s="28" t="s">
        <v>45</v>
      </c>
      <c r="C29" s="29" t="s">
        <v>21</v>
      </c>
      <c r="D29" s="29" t="s">
        <v>21</v>
      </c>
      <c r="E29" s="15" t="s">
        <v>46</v>
      </c>
      <c r="F29" s="20"/>
      <c r="G29" s="20"/>
      <c r="H29" s="20">
        <v>15</v>
      </c>
      <c r="I29" s="15" t="s">
        <v>47</v>
      </c>
      <c r="J29" s="15"/>
      <c r="K29" s="15" t="s">
        <v>63</v>
      </c>
      <c r="L29" s="15"/>
      <c r="M29" s="19" t="s">
        <v>21</v>
      </c>
      <c r="N29" s="30"/>
    </row>
    <row r="30" spans="2:14" ht="15.75">
      <c r="B30" s="28" t="s">
        <v>48</v>
      </c>
      <c r="C30" s="29" t="s">
        <v>21</v>
      </c>
      <c r="D30" s="29" t="s">
        <v>21</v>
      </c>
      <c r="E30" s="15" t="s">
        <v>49</v>
      </c>
      <c r="F30" s="20"/>
      <c r="G30" s="20"/>
      <c r="H30" s="20">
        <v>1</v>
      </c>
      <c r="I30" s="15" t="s">
        <v>50</v>
      </c>
      <c r="J30" s="15"/>
      <c r="K30" s="15" t="s">
        <v>63</v>
      </c>
      <c r="L30" s="15"/>
      <c r="M30" s="19" t="s">
        <v>21</v>
      </c>
      <c r="N30" s="30"/>
    </row>
    <row r="31" spans="2:14" ht="15.75">
      <c r="B31" s="28" t="s">
        <v>51</v>
      </c>
      <c r="C31" s="29" t="s">
        <v>21</v>
      </c>
      <c r="D31" s="29" t="s">
        <v>21</v>
      </c>
      <c r="E31" s="15" t="s">
        <v>52</v>
      </c>
      <c r="F31" s="20"/>
      <c r="G31" s="20"/>
      <c r="H31" s="20"/>
      <c r="I31" s="15"/>
      <c r="J31" s="15"/>
      <c r="K31" s="15" t="s">
        <v>63</v>
      </c>
      <c r="L31" s="15"/>
      <c r="M31" s="19" t="s">
        <v>21</v>
      </c>
      <c r="N31" s="30"/>
    </row>
    <row r="32" spans="2:14" ht="15.75">
      <c r="B32" s="28" t="s">
        <v>53</v>
      </c>
      <c r="C32" s="29" t="s">
        <v>21</v>
      </c>
      <c r="D32" s="29" t="s">
        <v>21</v>
      </c>
      <c r="E32" s="15" t="s">
        <v>54</v>
      </c>
      <c r="F32" s="20"/>
      <c r="G32" s="20"/>
      <c r="H32" s="20"/>
      <c r="I32" s="15"/>
      <c r="J32" s="15"/>
      <c r="K32" s="15" t="s">
        <v>63</v>
      </c>
      <c r="L32" s="15"/>
      <c r="M32" s="19" t="s">
        <v>21</v>
      </c>
      <c r="N32" s="30"/>
    </row>
    <row r="33" spans="2:14" ht="15.75">
      <c r="B33" s="28" t="s">
        <v>55</v>
      </c>
      <c r="C33" s="29" t="s">
        <v>21</v>
      </c>
      <c r="D33" s="29" t="s">
        <v>21</v>
      </c>
      <c r="E33" s="15" t="s">
        <v>56</v>
      </c>
      <c r="F33" s="20"/>
      <c r="G33" s="20"/>
      <c r="H33" s="20"/>
      <c r="I33" s="15"/>
      <c r="J33" s="15"/>
      <c r="K33" s="15" t="s">
        <v>63</v>
      </c>
      <c r="L33" s="15"/>
      <c r="M33" s="19" t="s">
        <v>21</v>
      </c>
      <c r="N33" s="30"/>
    </row>
    <row r="34" spans="2:14" ht="15.75">
      <c r="B34" s="28" t="s">
        <v>57</v>
      </c>
      <c r="C34" s="29" t="s">
        <v>21</v>
      </c>
      <c r="D34" s="29" t="s">
        <v>21</v>
      </c>
      <c r="E34" s="15" t="s">
        <v>58</v>
      </c>
      <c r="F34" s="20"/>
      <c r="G34" s="20"/>
      <c r="H34" s="20"/>
      <c r="I34" s="15"/>
      <c r="J34" s="15"/>
      <c r="K34" s="15" t="s">
        <v>63</v>
      </c>
      <c r="L34" s="15"/>
      <c r="M34" s="19" t="s">
        <v>21</v>
      </c>
      <c r="N34" s="30"/>
    </row>
    <row r="35" spans="2:14" ht="15.75">
      <c r="B35" s="28" t="s">
        <v>59</v>
      </c>
      <c r="C35" s="29" t="s">
        <v>21</v>
      </c>
      <c r="D35" s="29" t="s">
        <v>21</v>
      </c>
      <c r="E35" s="15" t="s">
        <v>60</v>
      </c>
      <c r="F35" s="20"/>
      <c r="G35" s="20"/>
      <c r="H35" s="20"/>
      <c r="I35" s="15"/>
      <c r="J35" s="15"/>
      <c r="K35" s="15" t="s">
        <v>63</v>
      </c>
      <c r="L35" s="15"/>
      <c r="M35" s="19" t="s">
        <v>21</v>
      </c>
      <c r="N35" s="30"/>
    </row>
    <row r="36" spans="2:14">
      <c r="B36" s="23"/>
      <c r="C36" s="23"/>
      <c r="D36" s="23"/>
      <c r="E36" s="24"/>
      <c r="F36" s="25"/>
      <c r="G36" s="25"/>
      <c r="H36" s="25"/>
      <c r="I36" s="24"/>
      <c r="J36" s="24"/>
      <c r="K36" s="24"/>
      <c r="L36" s="24"/>
      <c r="M36" s="35"/>
      <c r="N36" s="2"/>
    </row>
    <row r="37" spans="2:14">
      <c r="B37" s="23"/>
      <c r="C37" s="23"/>
      <c r="D37" s="23"/>
      <c r="E37" s="24"/>
      <c r="F37" s="25"/>
      <c r="G37" s="25"/>
      <c r="H37" s="25"/>
      <c r="I37" s="24"/>
      <c r="J37" s="24"/>
      <c r="K37" s="24"/>
      <c r="L37" s="24"/>
      <c r="M37" s="35"/>
      <c r="N37" s="2"/>
    </row>
    <row r="38" spans="2:14">
      <c r="B38" s="23"/>
      <c r="C38" s="23"/>
      <c r="D38" s="23"/>
      <c r="E38" s="24"/>
      <c r="F38" s="25"/>
      <c r="G38" s="25"/>
      <c r="H38" s="25"/>
      <c r="I38" s="24"/>
      <c r="J38" s="24"/>
      <c r="K38" s="24"/>
      <c r="L38" s="24"/>
      <c r="M38" s="35"/>
      <c r="N38" s="2"/>
    </row>
  </sheetData>
  <mergeCells count="6">
    <mergeCell ref="B6:E6"/>
    <mergeCell ref="B8:E8"/>
    <mergeCell ref="C12:E12"/>
    <mergeCell ref="C11:E11"/>
    <mergeCell ref="C10:E10"/>
    <mergeCell ref="C9:E9"/>
  </mergeCells>
  <phoneticPr fontId="17" type="noConversion"/>
  <conditionalFormatting sqref="C18:D79">
    <cfRule type="cellIs" dxfId="7" priority="14" operator="equal">
      <formula>"fill out"</formula>
    </cfRule>
    <cfRule type="cellIs" dxfId="6" priority="15" operator="equal">
      <formula>"not agreed"</formula>
    </cfRule>
    <cfRule type="cellIs" dxfId="5" priority="16" operator="equal">
      <formula>"agreed"</formula>
    </cfRule>
  </conditionalFormatting>
  <conditionalFormatting sqref="M18:M70">
    <cfRule type="cellIs" dxfId="4" priority="9" operator="equal">
      <formula>"Negotiate"</formula>
    </cfRule>
    <cfRule type="cellIs" dxfId="3" priority="10" operator="equal">
      <formula>"N/A"</formula>
    </cfRule>
    <cfRule type="cellIs" dxfId="2" priority="11" operator="equal">
      <formula>"Rejected"</formula>
    </cfRule>
    <cfRule type="cellIs" dxfId="1" priority="12" operator="equal">
      <formula>"Agreed"</formula>
    </cfRule>
    <cfRule type="cellIs" dxfId="0" priority="13" operator="equal">
      <formula>"fill out"</formula>
    </cfRule>
  </conditionalFormatting>
  <dataValidations count="3">
    <dataValidation type="list" allowBlank="1" showInputMessage="1" showErrorMessage="1" sqref="M36:M38 F39:F1048576" xr:uid="{00000000-0002-0000-0100-000000000000}">
      <formula1>"Negotiate,Agreed,Rejected,N/A"</formula1>
    </dataValidation>
    <dataValidation type="list" allowBlank="1" showInputMessage="1" showErrorMessage="1" sqref="C26:D35 C19:D24" xr:uid="{00000000-0002-0000-0100-000001000000}">
      <formula1>"agreed, not agreed, fill out"</formula1>
    </dataValidation>
    <dataValidation type="list" allowBlank="1" showInputMessage="1" showErrorMessage="1" sqref="M26:M35 M19:M24" xr:uid="{00000000-0002-0000-0100-000002000000}">
      <formula1>"Negotiate,Agreed,Rejected,N/A,fill out"</formula1>
    </dataValidation>
  </dataValidations>
  <pageMargins left="0.7" right="0.7" top="0.78740157499999996" bottom="0.78740157499999996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Requirements_SOT23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Martin.Neuberger@de.bosch.com</dc:creator>
  <cp:lastModifiedBy>ZHOU Jiawei (VM-OSS/EPH3-CN)</cp:lastModifiedBy>
  <dcterms:created xsi:type="dcterms:W3CDTF">2014-02-27T16:51:50Z</dcterms:created>
  <dcterms:modified xsi:type="dcterms:W3CDTF">2026-10-27T05:31:26Z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[DocID]=2F6D5992-069B-4628-8AB1-FB3614EE4DA0</vt:lpwstr>
  </property>
  <property fmtid="{D5CDD505-2E9C-101B-9397-08002B2CF9AE}" pid="3" name="_IPGFLOW_P-F403_E-0_CV-88520CEC_CN-3A9C5200">
    <vt:lpwstr>DPFPMK|3|50|1|0</vt:lpwstr>
  </property>
  <property fmtid="{D5CDD505-2E9C-101B-9397-08002B2CF9AE}" pid="4" name="_IPGFLOW_P-F403_E-1_FP-1_SP-1_CV-302733B6_CN-68D21D43">
    <vt:lpwstr>8S+AtITc8xiXkOgW2i2Mu25k7mG0vdZqcITXlLzDsEg3FllWJSgd603H0N9bjv2VukQXI3eCVKFKxJcyRwmT3V5ReepemEhBtZw8zA5wiHzEYfrpv6T6wN1t9ZL9JIzZ7Legh5LoWraJ+olyxd0EGZ1ZPICywaRAO8yRfTsjSlQZknQ9RcxR4/h8fAlzM7gBuvdK6KiTWpkQKAt2qwBECvZKX07Qh1l8/EVUYaGhbAUHIe6530cksy204hPEK+4</vt:lpwstr>
  </property>
  <property fmtid="{D5CDD505-2E9C-101B-9397-08002B2CF9AE}" pid="5" name="_IPGFLOW_P-F403_E-1_FP-1_SP-2_CV-502FB0E4_CN-A74F3F3E">
    <vt:lpwstr>6O/b9fcMcY5CQFJ39BZRSvCSQXIaB/JUjo5DMqRbM5uxtYojMgICQsSzTDQKBdICOcZcABq7lUnXQIkF7M3ttJSlVrMENgAQbpaKxVty7u7SnoL52ZZN0SZg2g75+OnL3</vt:lpwstr>
  </property>
  <property fmtid="{D5CDD505-2E9C-101B-9397-08002B2CF9AE}" pid="6" name="_IPGFLOW_P-F403_E-0_FP-1_CV-1748F583_CN-400AD468">
    <vt:lpwstr>DPSPMK|3|384|2|0</vt:lpwstr>
  </property>
  <property fmtid="{D5CDD505-2E9C-101B-9397-08002B2CF9AE}" pid="7" name="_IPGLAB_P-F403_E-1_CV-8D929AE_CN-442F7C24">
    <vt:lpwstr>arpCqIvnLq9ILY1vmkZPyedQ3cT7M1CqkkntSMSXYq3rv1WaNMqyuuungjYy4PquRqYWvxfiTfv6Mrjyd5F/aL4sAdH8O5zcQWiq5kwiZnU=</vt:lpwstr>
  </property>
  <property fmtid="{D5CDD505-2E9C-101B-9397-08002B2CF9AE}" pid="8" name="_WMTAG">
    <vt:lpwstr>wmexist=0,1,2,3,4,5,6</vt:lpwstr>
  </property>
</Properties>
</file>